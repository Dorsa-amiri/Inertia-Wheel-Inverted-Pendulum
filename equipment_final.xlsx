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Uni\Final Project\pandulium\"/>
    </mc:Choice>
  </mc:AlternateContent>
  <xr:revisionPtr revIDLastSave="0" documentId="13_ncr:1_{E4B4D903-6C01-4154-9D59-AD0A005FE1AB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<sst xmlns="http://schemas.openxmlformats.org/spreadsheetml/2006/main" count="35" uniqueCount="31">
  <si>
    <t>Nucleo STM32F411RE</t>
  </si>
  <si>
    <t>RS-385 motor</t>
  </si>
  <si>
    <t>HN3806-AB-600N</t>
  </si>
  <si>
    <t>AS5600 Magnetic Encoder</t>
  </si>
  <si>
    <t>In person</t>
  </si>
  <si>
    <t>Name</t>
  </si>
  <si>
    <t>Website</t>
  </si>
  <si>
    <t>2 Pin Euro Plug</t>
  </si>
  <si>
    <t>STM32F411CEU6 BlackPill Development Board</t>
  </si>
  <si>
    <t>Power Adapter 18V-3A</t>
  </si>
  <si>
    <t>BTS7960 Pwm Motor Driver 43A6-27V</t>
  </si>
  <si>
    <t>-</t>
  </si>
  <si>
    <t>Delivery cost</t>
  </si>
  <si>
    <t>www.iranadaptor.ir</t>
  </si>
  <si>
    <t>www.partineh.com</t>
  </si>
  <si>
    <t>www.mechanicaal.ir</t>
  </si>
  <si>
    <t>www.fidarbearing.ir</t>
  </si>
  <si>
    <t>www.belelectronic.com
www.iran-module.ir</t>
  </si>
  <si>
    <t>Amount</t>
  </si>
  <si>
    <t>FAG 6300.2RSR.C3 Radial Ball Bearing</t>
  </si>
  <si>
    <t>free</t>
  </si>
  <si>
    <t>Total Cost</t>
  </si>
  <si>
    <t>3D Print PLA</t>
  </si>
  <si>
    <t>M3 Brass Heat-Set Threaded Insert</t>
  </si>
  <si>
    <t>Screws (4 screws for the brass inserts + 1 screw for fixing the motor + 1 M10x1.5 screw, length 130-140 mm, + 3 M10x1.5 nuts (if lower-profile nuts are available, the screw length can be reduced accordingly so it doesn't protrude) + 6 self-tapping screws for attaching the assembly to the base board + 3 screws for connecting the encoder mount to the base)</t>
  </si>
  <si>
    <t>Wooden board, 2×14×30 cm</t>
  </si>
  <si>
    <t>Aluminum rod, ⌀6mm, solid (repurposed from a solid crochet hook, straightened)</t>
  </si>
  <si>
    <t>https://bir-robotic.ir</t>
  </si>
  <si>
    <t>IRR</t>
  </si>
  <si>
    <t>Electrical</t>
  </si>
  <si>
    <t>Mechanical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</si>
</sst>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darkUp">
        <bgColor rgb="FFFF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2" fillId="0" borderId="1" xfId="2" applyBorder="1" applyAlignment="1">
      <alignment horizontal="center" vertical="center" wrapText="1"/>
    </xf>
    <xf numFmtId="0" fontId="2" fillId="0" borderId="1" xfId="2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www.partineh.com/" TargetMode="External"/><Relationship Id="rId7" Type="http://schemas.openxmlformats.org/officeDocument/2006/relationships/hyperlink" Target="http://www.iranadaptor.ir/" TargetMode="External"/><Relationship Id="rId2" Type="http://schemas.openxmlformats.org/officeDocument/2006/relationships/hyperlink" Target="http://www.iranadaptor.ir/" TargetMode="External"/><Relationship Id="rId1" Type="http://schemas.openxmlformats.org/officeDocument/2006/relationships/hyperlink" Target="https://bir-robotic.ir/" TargetMode="External"/><Relationship Id="rId6" Type="http://schemas.openxmlformats.org/officeDocument/2006/relationships/hyperlink" Target="http://www.belelectronic.com/" TargetMode="External"/><Relationship Id="rId5" Type="http://schemas.openxmlformats.org/officeDocument/2006/relationships/hyperlink" Target="http://www.fidarbearing.ir/" TargetMode="External"/><Relationship Id="rId4" Type="http://schemas.openxmlformats.org/officeDocument/2006/relationships/hyperlink" Target="http://www.mechanicaal.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A5" zoomScale="112" zoomScaleNormal="130" workbookViewId="0">
      <selection activeCell="A10" sqref="A10:A14"/>
    </sheetView>
  </sheetViews>
  <sheetFormatPr defaultRowHeight="14.4" x14ac:dyDescent="0.3"/>
  <cols>
    <col min="1" max="1" width="10.44140625" style="7" bestFit="1" customWidth="1"/>
    <col min="2" max="2" width="33.44140625" style="7" customWidth="1"/>
    <col min="3" max="3" width="7.88671875" style="7" bestFit="1" customWidth="1"/>
    <col min="4" max="4" width="8.88671875" style="7" bestFit="1" customWidth="1"/>
    <col min="5" max="5" width="11.77734375" style="7" bestFit="1" customWidth="1"/>
    <col min="6" max="6" width="13.44140625" style="7" bestFit="1" customWidth="1"/>
    <col min="7" max="7" width="21.109375" style="7" bestFit="1" customWidth="1"/>
    <col min="8" max="16384" width="8.88671875" style="7"/>
  </cols>
  <sheetData>
    <row r="1" spans="1:7" s="6" customFormat="1" x14ac:dyDescent="0.3">
      <c r="A1" s="25"/>
      <c r="B1" s="3" t="s">
        <v>5</v>
      </c>
      <c r="C1" s="4" t="s">
        <v>18</v>
      </c>
      <c r="D1" s="4" t="s">
        <v>4</v>
      </c>
      <c r="E1" s="5" t="s">
        <v>21</v>
      </c>
      <c r="F1" s="5" t="s">
        <v>12</v>
      </c>
      <c r="G1" s="4" t="s">
        <v>6</v>
      </c>
    </row>
    <row r="2" spans="1:7" x14ac:dyDescent="0.3">
      <c r="A2" s="26" t="s">
        <v>29</v>
      </c>
      <c r="B2" s="21" t="s">
        <v>0</v>
      </c>
      <c r="C2" s="21"/>
      <c r="D2" s="21"/>
      <c r="E2" s="22">
        <v>44380000</v>
      </c>
      <c r="F2" s="22"/>
      <c r="G2" s="23" t="s">
        <v>27</v>
      </c>
    </row>
    <row r="3" spans="1:7" ht="28.8" x14ac:dyDescent="0.3">
      <c r="A3" s="26"/>
      <c r="B3" s="17" t="s">
        <v>8</v>
      </c>
      <c r="C3" s="8">
        <v>1</v>
      </c>
      <c r="D3" s="9"/>
      <c r="E3" s="10">
        <v>6400000</v>
      </c>
      <c r="F3" s="10"/>
      <c r="G3" s="11" t="s">
        <v>11</v>
      </c>
    </row>
    <row r="4" spans="1:7" ht="28.8" x14ac:dyDescent="0.3">
      <c r="A4" s="26"/>
      <c r="B4" s="17" t="s">
        <v>10</v>
      </c>
      <c r="C4" s="8">
        <v>1</v>
      </c>
      <c r="D4" s="9"/>
      <c r="E4" s="10">
        <v>8150000</v>
      </c>
      <c r="F4" s="10"/>
      <c r="G4" s="12" t="s">
        <v>17</v>
      </c>
    </row>
    <row r="5" spans="1:7" x14ac:dyDescent="0.3">
      <c r="A5" s="26"/>
      <c r="B5" s="17" t="s">
        <v>1</v>
      </c>
      <c r="C5" s="8">
        <v>1</v>
      </c>
      <c r="D5" s="9"/>
      <c r="E5" s="10">
        <v>3000000</v>
      </c>
      <c r="F5" s="10"/>
      <c r="G5" s="13" t="s">
        <v>15</v>
      </c>
    </row>
    <row r="6" spans="1:7" x14ac:dyDescent="0.3">
      <c r="A6" s="26"/>
      <c r="B6" s="17" t="s">
        <v>3</v>
      </c>
      <c r="C6" s="8">
        <v>1</v>
      </c>
      <c r="D6" s="9"/>
      <c r="E6" s="10">
        <v>1950000</v>
      </c>
      <c r="F6" s="10"/>
      <c r="G6" s="11" t="s">
        <v>11</v>
      </c>
    </row>
    <row r="7" spans="1:7" x14ac:dyDescent="0.3">
      <c r="A7" s="26"/>
      <c r="B7" s="17" t="s">
        <v>2</v>
      </c>
      <c r="C7" s="8">
        <v>1</v>
      </c>
      <c r="D7" s="14"/>
      <c r="E7" s="15">
        <v>27400000</v>
      </c>
      <c r="F7" s="15">
        <v>2000000</v>
      </c>
      <c r="G7" s="13" t="s">
        <v>14</v>
      </c>
    </row>
    <row r="8" spans="1:7" x14ac:dyDescent="0.3">
      <c r="A8" s="26"/>
      <c r="B8" s="17" t="s">
        <v>9</v>
      </c>
      <c r="C8" s="8">
        <v>1</v>
      </c>
      <c r="D8" s="9"/>
      <c r="E8" s="10">
        <v>6000000</v>
      </c>
      <c r="F8" s="10"/>
      <c r="G8" s="13" t="s">
        <v>13</v>
      </c>
    </row>
    <row r="9" spans="1:7" x14ac:dyDescent="0.3">
      <c r="A9" s="1"/>
      <c r="B9" s="17" t="s">
        <v>7</v>
      </c>
      <c r="C9" s="8">
        <v>1</v>
      </c>
      <c r="D9" s="9"/>
      <c r="E9" s="10">
        <v>500000</v>
      </c>
      <c r="F9" s="10"/>
      <c r="G9" s="13" t="s">
        <v>13</v>
      </c>
    </row>
    <row r="10" spans="1:7" ht="43.2" x14ac:dyDescent="0.3">
      <c r="A10" s="27" t="s">
        <v>30</v>
      </c>
      <c r="B10" s="17" t="s">
        <v>26</v>
      </c>
      <c r="C10" s="8">
        <v>1</v>
      </c>
      <c r="D10" s="9"/>
      <c r="E10" s="10">
        <v>550000</v>
      </c>
      <c r="F10" s="10"/>
      <c r="G10" s="16"/>
    </row>
    <row r="11" spans="1:7" ht="28.8" customHeight="1" x14ac:dyDescent="0.3">
      <c r="A11" s="26"/>
      <c r="B11" s="17" t="s">
        <v>23</v>
      </c>
      <c r="C11" s="14">
        <v>4</v>
      </c>
      <c r="D11" s="9"/>
      <c r="E11" s="10">
        <v>440000</v>
      </c>
      <c r="F11" s="8"/>
      <c r="G11" s="8"/>
    </row>
    <row r="12" spans="1:7" ht="28.8" customHeight="1" x14ac:dyDescent="0.3">
      <c r="A12" s="26"/>
      <c r="B12" s="17" t="s">
        <v>19</v>
      </c>
      <c r="C12" s="14">
        <v>2</v>
      </c>
      <c r="D12" s="14"/>
      <c r="E12" s="10">
        <v>10000000</v>
      </c>
      <c r="F12" s="10">
        <v>2360000</v>
      </c>
      <c r="G12" s="13" t="s">
        <v>16</v>
      </c>
    </row>
    <row r="13" spans="1:7" ht="187.2" customHeight="1" x14ac:dyDescent="0.3">
      <c r="A13" s="26"/>
      <c r="B13" s="17" t="s">
        <v>24</v>
      </c>
      <c r="C13" s="8"/>
      <c r="D13" s="9"/>
      <c r="E13" s="15">
        <v>800000</v>
      </c>
      <c r="F13" s="8"/>
      <c r="G13" s="8"/>
    </row>
    <row r="14" spans="1:7" x14ac:dyDescent="0.3">
      <c r="A14" s="1"/>
      <c r="B14" s="17" t="s">
        <v>25</v>
      </c>
      <c r="C14" s="8">
        <v>1</v>
      </c>
      <c r="D14" s="9"/>
      <c r="E14" s="8" t="s">
        <v>20</v>
      </c>
      <c r="F14" s="8"/>
      <c r="G14" s="8"/>
    </row>
    <row r="15" spans="1:7" x14ac:dyDescent="0.3">
      <c r="A15" s="2" t="s">
        <v>22</v>
      </c>
      <c r="B15" s="2"/>
      <c r="C15" s="18"/>
      <c r="D15" s="18"/>
      <c r="E15" s="19">
        <v>15000000</v>
      </c>
      <c r="F15" s="18" t="s">
        <v>11</v>
      </c>
      <c r="G15" s="18" t="s">
        <v>11</v>
      </c>
    </row>
    <row r="16" spans="1:7" x14ac:dyDescent="0.3">
      <c r="E16" s="20">
        <f>SUM(E3:F15)</f>
        <v>84550000</v>
      </c>
      <c r="F16" s="24" t="s">
        <v>28</v>
      </c>
    </row>
  </sheetData>
  <mergeCells count="3">
    <mergeCell ref="A15:B15"/>
    <mergeCell ref="A2:A9"/>
    <mergeCell ref="A10:A14"/>
  </mergeCells>
  <hyperlinks>
    <hyperlink ref="G2" r:id="rId1" xr:uid="{7271CC17-7601-40F3-8B7D-934233E69247}"/>
    <hyperlink ref="G8" r:id="rId2" xr:uid="{12C34A60-DB35-4ADD-B41D-FD005E27C0EB}"/>
    <hyperlink ref="G7" r:id="rId3" xr:uid="{ECCED31C-BF14-4DE1-8C76-50D4E10FAF3D}"/>
    <hyperlink ref="G5" r:id="rId4" xr:uid="{9239B86C-B372-44A3-A5E5-A9D0A71A4902}"/>
    <hyperlink ref="G12" r:id="rId5" xr:uid="{EE92F28F-7F7B-45D7-9D5C-648CFDC6760F}"/>
    <hyperlink ref="G4" r:id="rId6" display="www.belelectronic.com" xr:uid="{3ADA612C-BBBB-4CB1-A85C-CE9DA13F270A}"/>
    <hyperlink ref="G9" r:id="rId7" xr:uid="{911A8FFA-419C-496E-A809-D2D976C96EA4}"/>
  </hyperlinks>
  <pageMargins left="0.7" right="0.7" top="0.75" bottom="0.75" header="0.3" footer="0.3"/>
  <pageSetup orientation="landscape" horizontalDpi="0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dorsa amiri</dc:creator>
  <cp:lastModifiedBy>dorsa amiri</cp:lastModifiedBy>
  <cp:lastPrinted>2026-08-27T10:36:46Z</cp:lastPrinted>
  <dcterms:created xsi:type="dcterms:W3CDTF">2015-06-05T18:17:20Z</dcterms:created>
  <dcterms:modified xsi:type="dcterms:W3CDTF">2026-08-28T13:14:56Z</dcterms:modified>
</cp:coreProperties>
</file>